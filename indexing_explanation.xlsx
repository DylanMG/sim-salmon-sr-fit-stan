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ASERD\Desktop\"/>
    </mc:Choice>
  </mc:AlternateContent>
  <xr:revisionPtr revIDLastSave="0" documentId="8_{AB868450-2C87-40C5-876B-FF427816D02B}" xr6:coauthVersionLast="47" xr6:coauthVersionMax="47" xr10:uidLastSave="{00000000-0000-0000-0000-000000000000}"/>
  <bookViews>
    <workbookView xWindow="-120" yWindow="-120" windowWidth="25440" windowHeight="15270" xr2:uid="{6BF928DE-F1F8-47FB-B135-7E7917B06414}"/>
  </bookViews>
  <sheets>
    <sheet name="BC's way" sheetId="1" r:id="rId1"/>
    <sheet name="other working cop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M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tc={BA08DEE2-E61A-4823-A50A-B4CDB340B732}</author>
    <author>tc={29E0DDFB-BA6C-418F-9717-2A5AB44FA9E2}</author>
    <author>tc={DCDF1D7E-A95B-4F1F-9918-987D89D9D6F4}</author>
  </authors>
  <commentList>
    <comment ref="I1" authorId="0" shapeId="0" xr:uid="{BA08DEE2-E61A-4823-A50A-B4CDB340B732}">
      <text>
        <t>[Threaded comment]
Your version of Excel allows you to read this threaded comment; however, any edits to it will get removed if the file is opened in a newer version of Excel. Learn more: https://go.microsoft.com/fwlink/?linkid=870924
Comment:
    Idk if keeping this column makes sense, or maybe just indexing it by nRyrs</t>
      </text>
    </comment>
    <comment ref="I9" authorId="1" shapeId="0" xr:uid="{29E0DDFB-BA6C-418F-9717-2A5AB44FA9E2}">
      <text>
        <t>[Threaded comment]
Your version of Excel allows you to read this threaded comment; however, any edits to it will get removed if the file is opened in a newer version of Excel. Learn more: https://go.microsoft.com/fwlink/?linkid=870924
Comment:
    nRyrs in BC’s code</t>
      </text>
    </comment>
    <comment ref="C10" authorId="2" shapeId="0" xr:uid="{DCDF1D7E-A95B-4F1F-9918-987D89D9D6F4}">
      <text>
        <t>[Threaded comment]
Your version of Excel allows you to read this threaded comment; however, any edits to it will get removed if the file is opened in a newer version of Excel. Learn more: https://go.microsoft.com/fwlink/?linkid=870924
Comment:
    N minus harvest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tc={F29BB623-3AA6-4216-907A-3CDC374C81AB}</author>
    <author>tc={5AAC5187-577D-488D-9925-EBA39BB456C9}</author>
    <author>tc={167A114F-183C-4F59-909D-7F2A6E7DF4AF}</author>
    <author>tc={5FE8C79B-9A7B-4891-B73D-DDA9AD9CA2A3}</author>
    <author>tc={27BB3287-60AB-4915-9FBE-CAF496FB93B8}</author>
    <author>tc={67F72C96-7418-4BFF-BAE9-1947AECC584B}</author>
  </authors>
  <commentList>
    <comment ref="L1" authorId="0" shapeId="0" xr:uid="{F29BB623-3AA6-4216-907A-3CDC374C81AB}">
      <text>
        <t>[Threaded comment]
Your version of Excel allows you to read this threaded comment; however, any edits to it will get removed if the file is opened in a newer version of Excel. Learn more: https://go.microsoft.com/fwlink/?linkid=870924
Comment:
    And this is by return year?</t>
      </text>
    </comment>
    <comment ref="H10" authorId="1" shapeId="0" xr:uid="{5AAC5187-577D-488D-9925-EBA39BB456C9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I scoot this up?</t>
      </text>
    </comment>
    <comment ref="J10" authorId="2" shapeId="0" xr:uid="{167A114F-183C-4F59-909D-7F2A6E7DF4AF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tf does this line up?</t>
      </text>
    </comment>
    <comment ref="A11" authorId="3" shapeId="0" xr:uid="{5FE8C79B-9A7B-4891-B73D-DDA9AD9CA2A3}">
      <text>
        <t>[Threaded comment]
Your version of Excel allows you to read this threaded comment; however, any edits to it will get removed if the file is opened in a newer version of Excel. Learn more: https://go.microsoft.com/fwlink/?linkid=870924
Comment:
    Unlinked to previous recruits</t>
      </text>
    </comment>
    <comment ref="C11" authorId="4" shapeId="0" xr:uid="{27BB3287-60AB-4915-9FBE-CAF496FB93B8}">
      <text>
        <t>[Threaded comment]
Your version of Excel allows you to read this threaded comment; however, any edits to it will get removed if the file is opened in a newer version of Excel. Learn more: https://go.microsoft.com/fwlink/?linkid=870924
Comment:
    =H6*L6
i.e. the proportion from the brood year that matured. How does harvest work in here?</t>
      </text>
    </comment>
    <comment ref="A18" authorId="5" shapeId="0" xr:uid="{67F72C96-7418-4BFF-BAE9-1947AECC58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first year you have the data for a full cohort of recruits. </t>
      </text>
    </comment>
  </commentList>
</comments>
</file>

<file path=xl/sharedStrings.xml><?xml version="1.0" encoding="utf-8"?>
<sst xmlns="http://schemas.openxmlformats.org/spreadsheetml/2006/main" count="408" uniqueCount="202">
  <si>
    <t>Spawners</t>
  </si>
  <si>
    <t>N4</t>
  </si>
  <si>
    <t>N5</t>
  </si>
  <si>
    <t>N6</t>
  </si>
  <si>
    <t>N7</t>
  </si>
  <si>
    <t>N (total run)</t>
  </si>
  <si>
    <r>
      <t>S</t>
    </r>
    <r>
      <rPr>
        <vertAlign val="subscript"/>
        <sz val="11"/>
        <color theme="1"/>
        <rFont val="Calibri"/>
        <family val="2"/>
        <scheme val="minor"/>
      </rPr>
      <t>1</t>
    </r>
  </si>
  <si>
    <r>
      <t>S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</si>
  <si>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t>S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</si>
  <si>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r>
      <t>S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</si>
  <si>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S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/>
    </r>
  </si>
  <si>
    <r>
      <t>S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/>
    </r>
  </si>
  <si>
    <r>
      <t>S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/>
    </r>
  </si>
  <si>
    <r>
      <t>S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/>
    </r>
  </si>
  <si>
    <r>
      <t>S</t>
    </r>
    <r>
      <rPr>
        <vertAlign val="sub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/>
    </r>
  </si>
  <si>
    <r>
      <t>S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/>
    </r>
  </si>
  <si>
    <r>
      <t>S</t>
    </r>
    <r>
      <rPr>
        <vertAlign val="sub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/>
    </r>
  </si>
  <si>
    <r>
      <t>S</t>
    </r>
    <r>
      <rPr>
        <vertAlign val="sub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/>
    </r>
  </si>
  <si>
    <r>
      <t>S</t>
    </r>
    <r>
      <rPr>
        <vertAlign val="sub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/>
    </r>
  </si>
  <si>
    <r>
      <t>S</t>
    </r>
    <r>
      <rPr>
        <vertAlign val="sub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</si>
  <si>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1,4</t>
    </r>
  </si>
  <si>
    <r>
      <t>N</t>
    </r>
    <r>
      <rPr>
        <vertAlign val="subscript"/>
        <sz val="11"/>
        <color theme="1"/>
        <rFont val="Calibri"/>
        <family val="2"/>
        <scheme val="minor"/>
      </rPr>
      <t>2,4</t>
    </r>
  </si>
  <si>
    <r>
      <t>N</t>
    </r>
    <r>
      <rPr>
        <vertAlign val="subscript"/>
        <sz val="11"/>
        <color theme="1"/>
        <rFont val="Calibri"/>
        <family val="2"/>
        <scheme val="minor"/>
      </rPr>
      <t>3,4</t>
    </r>
  </si>
  <si>
    <r>
      <t>N</t>
    </r>
    <r>
      <rPr>
        <vertAlign val="subscript"/>
        <sz val="11"/>
        <color theme="1"/>
        <rFont val="Calibri"/>
        <family val="2"/>
        <scheme val="minor"/>
      </rPr>
      <t>2,5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</si>
  <si>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3,5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</si>
  <si>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2,6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</si>
  <si>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</si>
  <si>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</si>
  <si>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</si>
  <si>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2,7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</si>
  <si>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3,6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</si>
  <si>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3,7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</si>
  <si>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</si>
  <si>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</si>
  <si>
    <r>
      <t>N</t>
    </r>
    <r>
      <rPr>
        <vertAlign val="subscript"/>
        <sz val="11"/>
        <color theme="1"/>
        <rFont val="Calibri"/>
        <family val="2"/>
        <scheme val="minor"/>
      </rPr>
      <t>1</t>
    </r>
  </si>
  <si>
    <t>Return yrs (nyrs)</t>
  </si>
  <si>
    <r>
      <t>N</t>
    </r>
    <r>
      <rPr>
        <vertAlign val="subscript"/>
        <sz val="11"/>
        <color theme="1"/>
        <rFont val="Calibri"/>
        <family val="2"/>
        <scheme val="minor"/>
      </rPr>
      <t>4,4</t>
    </r>
  </si>
  <si>
    <r>
      <t>N</t>
    </r>
    <r>
      <rPr>
        <vertAlign val="subscript"/>
        <sz val="11"/>
        <color theme="1"/>
        <rFont val="Calibri"/>
        <family val="2"/>
        <scheme val="minor"/>
      </rPr>
      <t>4,5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</si>
  <si>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4,6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</si>
  <si>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4,7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</si>
  <si>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10,4</t>
    </r>
  </si>
  <si>
    <r>
      <t>N</t>
    </r>
    <r>
      <rPr>
        <vertAlign val="subscript"/>
        <sz val="11"/>
        <color theme="1"/>
        <rFont val="Calibri"/>
        <family val="2"/>
        <scheme val="minor"/>
      </rPr>
      <t>12,4</t>
    </r>
  </si>
  <si>
    <r>
      <t>N</t>
    </r>
    <r>
      <rPr>
        <vertAlign val="subscript"/>
        <sz val="11"/>
        <color theme="1"/>
        <rFont val="Calibri"/>
        <family val="2"/>
        <scheme val="minor"/>
      </rPr>
      <t>13,4</t>
    </r>
  </si>
  <si>
    <r>
      <t>N</t>
    </r>
    <r>
      <rPr>
        <vertAlign val="subscript"/>
        <sz val="11"/>
        <color theme="1"/>
        <rFont val="Calibri"/>
        <family val="2"/>
        <scheme val="minor"/>
      </rPr>
      <t>14,4</t>
    </r>
  </si>
  <si>
    <r>
      <t>N</t>
    </r>
    <r>
      <rPr>
        <vertAlign val="subscript"/>
        <sz val="11"/>
        <color theme="1"/>
        <rFont val="Calibri"/>
        <family val="2"/>
        <scheme val="minor"/>
      </rPr>
      <t>5,4</t>
    </r>
  </si>
  <si>
    <r>
      <t>N</t>
    </r>
    <r>
      <rPr>
        <vertAlign val="subscript"/>
        <sz val="11"/>
        <color theme="1"/>
        <rFont val="Calibri"/>
        <family val="2"/>
        <scheme val="minor"/>
      </rPr>
      <t>6,4</t>
    </r>
  </si>
  <si>
    <r>
      <t>N</t>
    </r>
    <r>
      <rPr>
        <vertAlign val="subscript"/>
        <sz val="11"/>
        <color theme="1"/>
        <rFont val="Calibri"/>
        <family val="2"/>
        <scheme val="minor"/>
      </rPr>
      <t>7,4</t>
    </r>
  </si>
  <si>
    <r>
      <t>N</t>
    </r>
    <r>
      <rPr>
        <vertAlign val="subscript"/>
        <sz val="11"/>
        <color theme="1"/>
        <rFont val="Calibri"/>
        <family val="2"/>
        <scheme val="minor"/>
      </rPr>
      <t>8,4</t>
    </r>
  </si>
  <si>
    <r>
      <t>N</t>
    </r>
    <r>
      <rPr>
        <vertAlign val="subscript"/>
        <sz val="11"/>
        <color theme="1"/>
        <rFont val="Calibri"/>
        <family val="2"/>
        <scheme val="minor"/>
      </rPr>
      <t>9,4</t>
    </r>
  </si>
  <si>
    <r>
      <t>N</t>
    </r>
    <r>
      <rPr>
        <vertAlign val="subscript"/>
        <sz val="11"/>
        <color theme="1"/>
        <rFont val="Calibri"/>
        <family val="2"/>
        <scheme val="minor"/>
      </rPr>
      <t>11,4</t>
    </r>
  </si>
  <si>
    <r>
      <t>N</t>
    </r>
    <r>
      <rPr>
        <vertAlign val="subscript"/>
        <sz val="11"/>
        <color theme="1"/>
        <rFont val="Calibri"/>
        <family val="2"/>
        <scheme val="minor"/>
      </rPr>
      <t>5,5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</si>
  <si>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5,6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</si>
  <si>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5,7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</si>
  <si>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6,5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</si>
  <si>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6,6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</si>
  <si>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6,7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</si>
  <si>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7,5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</si>
  <si>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7,6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</si>
  <si>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7,7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</si>
  <si>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8,5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</si>
  <si>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8,6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</si>
  <si>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8,7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</si>
  <si>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9,5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</si>
  <si>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9,6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</si>
  <si>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9,7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</si>
  <si>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10,5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</si>
  <si>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10,6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</si>
  <si>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10,7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</si>
  <si>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11,5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</si>
  <si>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11,6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</si>
  <si>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11,7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</si>
  <si>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12,5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</si>
  <si>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12,6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</si>
  <si>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12,7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</si>
  <si>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13,5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</si>
  <si>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13,6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</si>
  <si>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13,7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</si>
  <si>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14,5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</si>
  <si>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14,6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</si>
  <si>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14,7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</si>
  <si>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</si>
  <si>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</si>
  <si>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</si>
  <si>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</si>
  <si>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</si>
  <si>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</si>
  <si>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</si>
  <si>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</si>
  <si>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</si>
  <si>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</si>
  <si>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/>
    </r>
  </si>
  <si>
    <r>
      <t>R</t>
    </r>
    <r>
      <rPr>
        <vertAlign val="subscript"/>
        <sz val="11"/>
        <color theme="1"/>
        <rFont val="Calibri"/>
        <family val="2"/>
        <scheme val="minor"/>
      </rPr>
      <t>1</t>
    </r>
  </si>
  <si>
    <r>
      <t>R</t>
    </r>
    <r>
      <rPr>
        <vertAlign val="subscript"/>
        <sz val="11"/>
        <color theme="1"/>
        <rFont val="Calibri"/>
        <family val="2"/>
        <scheme val="minor"/>
      </rPr>
      <t>2</t>
    </r>
  </si>
  <si>
    <r>
      <t>R</t>
    </r>
    <r>
      <rPr>
        <vertAlign val="subscript"/>
        <sz val="11"/>
        <color theme="1"/>
        <rFont val="Calibri"/>
        <family val="2"/>
        <scheme val="minor"/>
      </rPr>
      <t>3</t>
    </r>
  </si>
  <si>
    <r>
      <t>R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/>
    </r>
  </si>
  <si>
    <r>
      <t>R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/>
    </r>
  </si>
  <si>
    <r>
      <t>R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/>
    </r>
  </si>
  <si>
    <r>
      <t>R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/>
    </r>
  </si>
  <si>
    <r>
      <t>R</t>
    </r>
    <r>
      <rPr>
        <vertAlign val="sub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/>
    </r>
  </si>
  <si>
    <r>
      <t>R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/>
    </r>
  </si>
  <si>
    <r>
      <t>R</t>
    </r>
    <r>
      <rPr>
        <vertAlign val="sub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/>
    </r>
  </si>
  <si>
    <r>
      <t>R</t>
    </r>
    <r>
      <rPr>
        <vertAlign val="sub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/>
    </r>
  </si>
  <si>
    <r>
      <t>R</t>
    </r>
    <r>
      <rPr>
        <vertAlign val="sub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/>
    </r>
  </si>
  <si>
    <r>
      <t>R</t>
    </r>
    <r>
      <rPr>
        <vertAlign val="sub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/>
    </r>
  </si>
  <si>
    <t>…</t>
  </si>
  <si>
    <t>max(nyrs)</t>
  </si>
  <si>
    <t>max(nRyrs)</t>
  </si>
  <si>
    <t>Rec. yrs. (nRyrs)</t>
  </si>
  <si>
    <t>lnresid</t>
  </si>
  <si>
    <t>#</t>
  </si>
  <si>
    <r>
      <t>R</t>
    </r>
    <r>
      <rPr>
        <vertAlign val="subscript"/>
        <sz val="11"/>
        <color theme="1"/>
        <rFont val="Calibri"/>
        <family val="2"/>
        <scheme val="minor"/>
      </rPr>
      <t>4</t>
    </r>
  </si>
  <si>
    <r>
      <t>Numbers at age (N</t>
    </r>
    <r>
      <rPr>
        <vertAlign val="subscript"/>
        <sz val="11"/>
        <color theme="1"/>
        <rFont val="Calibri"/>
        <family val="2"/>
        <scheme val="minor"/>
      </rPr>
      <t>t,a</t>
    </r>
    <r>
      <rPr>
        <sz val="11"/>
        <color theme="1"/>
        <rFont val="Calibri"/>
        <family val="2"/>
        <scheme val="minor"/>
      </rPr>
      <t>)</t>
    </r>
  </si>
  <si>
    <t>R (recruits, nRyrs)</t>
  </si>
  <si>
    <r>
      <t>Proportions at age (p</t>
    </r>
    <r>
      <rPr>
        <vertAlign val="subscript"/>
        <sz val="11"/>
        <color theme="1"/>
        <rFont val="Calibri"/>
        <family val="2"/>
        <scheme val="minor"/>
      </rPr>
      <t>t,a</t>
    </r>
    <r>
      <rPr>
        <sz val="11"/>
        <color theme="1"/>
        <rFont val="Calibri"/>
        <family val="2"/>
        <scheme val="minor"/>
      </rPr>
      <t>)</t>
    </r>
  </si>
  <si>
    <r>
      <t>p</t>
    </r>
    <r>
      <rPr>
        <vertAlign val="subscript"/>
        <sz val="11"/>
        <color theme="1"/>
        <rFont val="Calibri"/>
        <family val="2"/>
        <scheme val="minor"/>
      </rPr>
      <t>1,1</t>
    </r>
  </si>
  <si>
    <r>
      <t>p</t>
    </r>
    <r>
      <rPr>
        <vertAlign val="subscript"/>
        <sz val="11"/>
        <color theme="1"/>
        <rFont val="Calibri"/>
        <family val="2"/>
        <scheme val="minor"/>
      </rPr>
      <t>3,1</t>
    </r>
  </si>
  <si>
    <r>
      <t>p</t>
    </r>
    <r>
      <rPr>
        <vertAlign val="subscript"/>
        <sz val="11"/>
        <color theme="1"/>
        <rFont val="Calibri"/>
        <family val="2"/>
        <scheme val="minor"/>
      </rPr>
      <t>2,1</t>
    </r>
  </si>
  <si>
    <r>
      <t>p</t>
    </r>
    <r>
      <rPr>
        <vertAlign val="subscript"/>
        <sz val="11"/>
        <color theme="1"/>
        <rFont val="Calibri"/>
        <family val="2"/>
        <scheme val="minor"/>
      </rPr>
      <t>1,2</t>
    </r>
    <r>
      <rPr>
        <sz val="11"/>
        <color theme="1"/>
        <rFont val="Calibri"/>
        <family val="2"/>
        <scheme val="minor"/>
      </rPr>
      <t/>
    </r>
  </si>
  <si>
    <r>
      <t>p</t>
    </r>
    <r>
      <rPr>
        <vertAlign val="subscript"/>
        <sz val="11"/>
        <color theme="1"/>
        <rFont val="Calibri"/>
        <family val="2"/>
        <scheme val="minor"/>
      </rPr>
      <t>1,3</t>
    </r>
    <r>
      <rPr>
        <sz val="11"/>
        <color theme="1"/>
        <rFont val="Calibri"/>
        <family val="2"/>
        <scheme val="minor"/>
      </rPr>
      <t/>
    </r>
  </si>
  <si>
    <r>
      <t>p</t>
    </r>
    <r>
      <rPr>
        <vertAlign val="subscript"/>
        <sz val="11"/>
        <color theme="1"/>
        <rFont val="Calibri"/>
        <family val="2"/>
        <scheme val="minor"/>
      </rPr>
      <t>1,4</t>
    </r>
    <r>
      <rPr>
        <sz val="11"/>
        <color theme="1"/>
        <rFont val="Calibri"/>
        <family val="2"/>
        <scheme val="minor"/>
      </rPr>
      <t/>
    </r>
  </si>
  <si>
    <r>
      <t>p</t>
    </r>
    <r>
      <rPr>
        <vertAlign val="subscript"/>
        <sz val="11"/>
        <color theme="1"/>
        <rFont val="Calibri"/>
        <family val="2"/>
        <scheme val="minor"/>
      </rPr>
      <t>2,2</t>
    </r>
    <r>
      <rPr>
        <sz val="11"/>
        <color theme="1"/>
        <rFont val="Calibri"/>
        <family val="2"/>
        <scheme val="minor"/>
      </rPr>
      <t/>
    </r>
  </si>
  <si>
    <r>
      <t>p</t>
    </r>
    <r>
      <rPr>
        <vertAlign val="subscript"/>
        <sz val="11"/>
        <color theme="1"/>
        <rFont val="Calibri"/>
        <family val="2"/>
        <scheme val="minor"/>
      </rPr>
      <t>2,3</t>
    </r>
    <r>
      <rPr>
        <sz val="11"/>
        <color theme="1"/>
        <rFont val="Calibri"/>
        <family val="2"/>
        <scheme val="minor"/>
      </rPr>
      <t/>
    </r>
  </si>
  <si>
    <r>
      <t>p</t>
    </r>
    <r>
      <rPr>
        <vertAlign val="subscript"/>
        <sz val="11"/>
        <color theme="1"/>
        <rFont val="Calibri"/>
        <family val="2"/>
        <scheme val="minor"/>
      </rPr>
      <t>2,4</t>
    </r>
    <r>
      <rPr>
        <sz val="11"/>
        <color theme="1"/>
        <rFont val="Calibri"/>
        <family val="2"/>
        <scheme val="minor"/>
      </rPr>
      <t/>
    </r>
  </si>
  <si>
    <r>
      <t>p</t>
    </r>
    <r>
      <rPr>
        <vertAlign val="subscript"/>
        <sz val="11"/>
        <color theme="1"/>
        <rFont val="Calibri"/>
        <family val="2"/>
        <scheme val="minor"/>
      </rPr>
      <t>3,2</t>
    </r>
    <r>
      <rPr>
        <sz val="11"/>
        <color theme="1"/>
        <rFont val="Calibri"/>
        <family val="2"/>
        <scheme val="minor"/>
      </rPr>
      <t/>
    </r>
  </si>
  <si>
    <r>
      <t>p</t>
    </r>
    <r>
      <rPr>
        <vertAlign val="subscript"/>
        <sz val="11"/>
        <color theme="1"/>
        <rFont val="Calibri"/>
        <family val="2"/>
        <scheme val="minor"/>
      </rPr>
      <t>3,3</t>
    </r>
    <r>
      <rPr>
        <sz val="11"/>
        <color theme="1"/>
        <rFont val="Calibri"/>
        <family val="2"/>
        <scheme val="minor"/>
      </rPr>
      <t/>
    </r>
  </si>
  <si>
    <r>
      <t>p</t>
    </r>
    <r>
      <rPr>
        <vertAlign val="subscript"/>
        <sz val="11"/>
        <color theme="1"/>
        <rFont val="Calibri"/>
        <family val="2"/>
        <scheme val="minor"/>
      </rPr>
      <t>3,4</t>
    </r>
    <r>
      <rPr>
        <sz val="11"/>
        <color theme="1"/>
        <rFont val="Calibri"/>
        <family val="2"/>
        <scheme val="minor"/>
      </rPr>
      <t/>
    </r>
  </si>
  <si>
    <t>S_-1</t>
  </si>
  <si>
    <t>S_-2</t>
  </si>
  <si>
    <r>
      <t>R</t>
    </r>
    <r>
      <rPr>
        <vertAlign val="subscript"/>
        <sz val="11"/>
        <rFont val="Calibri"/>
        <family val="2"/>
        <scheme val="minor"/>
      </rPr>
      <t>1</t>
    </r>
  </si>
  <si>
    <t>Year (calendar)</t>
  </si>
  <si>
    <t>Fleischman (2013) Table 1</t>
  </si>
  <si>
    <r>
      <t>N</t>
    </r>
    <r>
      <rPr>
        <vertAlign val="subscript"/>
        <sz val="11"/>
        <color theme="1"/>
        <rFont val="Calibri"/>
        <family val="2"/>
        <scheme val="minor"/>
      </rPr>
      <t>1,5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</si>
  <si>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2,5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</si>
  <si>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4,5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</si>
  <si>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</si>
  <si>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</si>
  <si>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2,6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</si>
  <si>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2,7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</si>
  <si>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3,5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</si>
  <si>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3,6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</si>
  <si>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3,7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</si>
  <si>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4,6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</si>
  <si>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4,7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</si>
  <si>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5,5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</si>
  <si>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5,6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</si>
  <si>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5,7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</si>
  <si>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6,5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</si>
  <si>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6,6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</si>
  <si>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6,7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</si>
  <si>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7,5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</si>
  <si>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7,6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</si>
  <si>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7,7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</si>
  <si>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8,5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</si>
  <si>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8,6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</si>
  <si>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8,7</t>
    </r>
    <r>
      <rPr>
        <sz val="11"/>
        <color theme="1"/>
        <rFont val="Calibri"/>
        <family val="2"/>
        <scheme val="minor"/>
      </rPr>
      <t/>
    </r>
  </si>
  <si>
    <t>Numbers (run) at age</t>
  </si>
  <si>
    <r>
      <t>N</t>
    </r>
    <r>
      <rPr>
        <vertAlign val="subscript"/>
        <sz val="11"/>
        <color theme="1"/>
        <rFont val="Calibri"/>
        <family val="2"/>
        <scheme val="minor"/>
      </rPr>
      <t>4</t>
    </r>
  </si>
  <si>
    <r>
      <t>N</t>
    </r>
    <r>
      <rPr>
        <vertAlign val="subscript"/>
        <sz val="11"/>
        <color theme="1"/>
        <rFont val="Calibri"/>
        <family val="2"/>
        <scheme val="minor"/>
      </rPr>
      <t>5</t>
    </r>
  </si>
  <si>
    <r>
      <t>N</t>
    </r>
    <r>
      <rPr>
        <vertAlign val="subscript"/>
        <sz val="11"/>
        <color theme="1"/>
        <rFont val="Calibri"/>
        <family val="2"/>
        <scheme val="minor"/>
      </rPr>
      <t>6</t>
    </r>
  </si>
  <si>
    <r>
      <t>N</t>
    </r>
    <r>
      <rPr>
        <vertAlign val="subscript"/>
        <sz val="11"/>
        <color theme="1"/>
        <rFont val="Calibri"/>
        <family val="2"/>
        <scheme val="minor"/>
      </rPr>
      <t>7</t>
    </r>
  </si>
  <si>
    <r>
      <t>R</t>
    </r>
    <r>
      <rPr>
        <vertAlign val="subscript"/>
        <sz val="11"/>
        <rFont val="Calibri"/>
        <family val="2"/>
        <scheme val="minor"/>
      </rPr>
      <t>0</t>
    </r>
  </si>
  <si>
    <t>unobserved recruits used to populate numbers at age</t>
  </si>
  <si>
    <t>Source</t>
  </si>
  <si>
    <t xml:space="preserve">Comment </t>
  </si>
  <si>
    <r>
      <t>R</t>
    </r>
    <r>
      <rPr>
        <vertAlign val="subscript"/>
        <sz val="11"/>
        <rFont val="Calibri"/>
        <family val="2"/>
        <scheme val="minor"/>
      </rPr>
      <t>-1</t>
    </r>
  </si>
  <si>
    <r>
      <t>R</t>
    </r>
    <r>
      <rPr>
        <vertAlign val="subscript"/>
        <sz val="11"/>
        <rFont val="Calibri"/>
        <family val="2"/>
        <scheme val="minor"/>
      </rPr>
      <t>-5</t>
    </r>
    <r>
      <rPr>
        <sz val="11"/>
        <color theme="1"/>
        <rFont val="Calibri"/>
        <family val="2"/>
        <scheme val="minor"/>
      </rPr>
      <t/>
    </r>
  </si>
  <si>
    <r>
      <t>R</t>
    </r>
    <r>
      <rPr>
        <vertAlign val="subscript"/>
        <sz val="11"/>
        <rFont val="Calibri"/>
        <family val="2"/>
        <scheme val="minor"/>
      </rPr>
      <t>-4</t>
    </r>
    <r>
      <rPr>
        <sz val="11"/>
        <color theme="1"/>
        <rFont val="Calibri"/>
        <family val="2"/>
        <scheme val="minor"/>
      </rPr>
      <t/>
    </r>
  </si>
  <si>
    <r>
      <t>R</t>
    </r>
    <r>
      <rPr>
        <vertAlign val="subscript"/>
        <sz val="1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/>
    </r>
  </si>
  <si>
    <r>
      <t>R</t>
    </r>
    <r>
      <rPr>
        <vertAlign val="subscript"/>
        <sz val="11"/>
        <rFont val="Calibri"/>
        <family val="2"/>
        <scheme val="minor"/>
      </rPr>
      <t>-2</t>
    </r>
  </si>
  <si>
    <r>
      <t>R</t>
    </r>
    <r>
      <rPr>
        <vertAlign val="subscript"/>
        <sz val="11"/>
        <rFont val="Calibri"/>
        <family val="2"/>
        <scheme val="minor"/>
      </rPr>
      <t>-6</t>
    </r>
    <r>
      <rPr>
        <sz val="11"/>
        <color theme="1"/>
        <rFont val="Calibri"/>
        <family val="2"/>
        <scheme val="minor"/>
      </rPr>
      <t/>
    </r>
  </si>
  <si>
    <t>nyears</t>
  </si>
  <si>
    <t>a_min</t>
  </si>
  <si>
    <t>a_max</t>
  </si>
  <si>
    <t>A</t>
  </si>
  <si>
    <t>nRyrs</t>
  </si>
  <si>
    <t>partially observed recruitment (missing N4-6)</t>
  </si>
  <si>
    <t>partially observed recruitment (missing N4-5)</t>
  </si>
  <si>
    <t>partially observed recruitment (missing N4)</t>
  </si>
  <si>
    <t>fully observed recruitment</t>
  </si>
  <si>
    <t>Brood table</t>
  </si>
  <si>
    <t>Recruits</t>
  </si>
  <si>
    <t>R[(a_max+1) : nRyrs]</t>
  </si>
  <si>
    <t>fully observed recruitment, and observed spawners</t>
  </si>
  <si>
    <t>partially observed recruitment (missing N7), and observed spawners</t>
  </si>
  <si>
    <t>partially observed recruitment (missing N6-7), and observed spawners</t>
  </si>
  <si>
    <t>partially observed recruitment (missing N5-7), and observed spawners</t>
  </si>
  <si>
    <t>DG Comment</t>
  </si>
  <si>
    <t>This is nyrs+A-1</t>
  </si>
  <si>
    <t>This is nyrs+a_min</t>
  </si>
  <si>
    <t>This is nyrs+a_max</t>
  </si>
  <si>
    <r>
      <t>N</t>
    </r>
    <r>
      <rPr>
        <vertAlign val="subscript"/>
        <sz val="11"/>
        <color theme="1"/>
        <rFont val="Calibri"/>
        <family val="2"/>
        <scheme val="minor"/>
      </rPr>
      <t>9,5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</si>
  <si>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9,6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</si>
  <si>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9,7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</si>
  <si>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10,5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</si>
  <si>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10,6</t>
    </r>
    <r>
      <rPr>
        <sz val="11"/>
        <color theme="1"/>
        <rFont val="Calibri"/>
        <family val="2"/>
        <scheme val="minor"/>
      </rPr>
      <t/>
    </r>
  </si>
  <si>
    <r>
      <t>N</t>
    </r>
    <r>
      <rPr>
        <vertAlign val="subscript"/>
        <sz val="11"/>
        <color theme="1"/>
        <rFont val="Calibri"/>
        <family val="2"/>
        <scheme val="minor"/>
      </rPr>
      <t>10,7</t>
    </r>
    <r>
      <rPr>
        <sz val="11"/>
        <color theme="1"/>
        <rFont val="Calibri"/>
        <family val="2"/>
        <scheme val="minor"/>
      </rPr>
      <t/>
    </r>
  </si>
  <si>
    <t>nyrs-a_min</t>
  </si>
  <si>
    <t>S[1 : (nyrs-a_min)]</t>
  </si>
  <si>
    <t>BT S index</t>
  </si>
  <si>
    <t>BT R index</t>
  </si>
  <si>
    <t>nyrs</t>
  </si>
  <si>
    <t>8 (a_max+1)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</si>
</sst>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theme="5"/>
      </top>
      <bottom style="medium">
        <color theme="4"/>
      </bottom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/>
      <diagonal/>
    </border>
    <border>
      <left style="medium">
        <color theme="4"/>
      </left>
      <right/>
      <top style="medium">
        <color theme="5"/>
      </top>
      <bottom style="medium">
        <color theme="4"/>
      </bottom>
      <diagonal/>
    </border>
    <border>
      <left style="medium">
        <color theme="4"/>
      </left>
      <right style="medium">
        <color theme="5"/>
      </right>
      <top style="medium">
        <color theme="5"/>
      </top>
      <bottom style="medium">
        <color theme="4"/>
      </bottom>
      <diagonal/>
    </border>
    <border>
      <left style="medium">
        <color theme="4"/>
      </left>
      <right style="medium">
        <color theme="9"/>
      </right>
      <top style="medium">
        <color theme="4"/>
      </top>
      <bottom style="medium">
        <color theme="9"/>
      </bottom>
      <diagonal/>
    </border>
    <border>
      <left style="medium">
        <color theme="9"/>
      </left>
      <right/>
      <top style="medium">
        <color theme="4"/>
      </top>
      <bottom/>
      <diagonal/>
    </border>
    <border>
      <left/>
      <right/>
      <top style="medium">
        <color theme="9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7"/>
      </left>
      <right style="medium">
        <color theme="7"/>
      </right>
      <top style="medium">
        <color theme="7"/>
      </top>
      <bottom style="medium">
        <color theme="7"/>
      </bottom>
      <diagonal/>
    </border>
    <border>
      <left style="medium">
        <color theme="7"/>
      </left>
      <right/>
      <top/>
      <bottom/>
      <diagonal/>
    </border>
    <border>
      <left style="medium">
        <color theme="7"/>
      </left>
      <right/>
      <top style="medium">
        <color theme="7"/>
      </top>
      <bottom/>
      <diagonal/>
    </border>
    <border>
      <left/>
      <right/>
      <top style="medium">
        <color theme="7"/>
      </top>
      <bottom/>
      <diagonal/>
    </border>
    <border>
      <left style="medium">
        <color theme="7"/>
      </left>
      <right/>
      <top style="medium">
        <color theme="7"/>
      </top>
      <bottom style="medium">
        <color theme="7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Fill="1" applyAlignment="1">
      <alignment horizontal="center"/>
    </xf>
    <xf numFmtId="0" fontId="0" fillId="0" borderId="0" xfId="0" applyFill="1"/>
    <xf numFmtId="0" fontId="0" fillId="4" borderId="0" xfId="0" applyFill="1"/>
    <xf numFmtId="0" fontId="4" fillId="2" borderId="0" xfId="0" applyFont="1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Alignment="1">
      <alignment horizontal="right"/>
    </xf>
    <xf numFmtId="0" fontId="7" fillId="0" borderId="14" xfId="0" applyFont="1" applyBorder="1" applyAlignment="1">
      <alignment horizontal="right"/>
    </xf>
    <xf numFmtId="0" fontId="7" fillId="0" borderId="15" xfId="0" applyFont="1" applyBorder="1" applyAlignment="1">
      <alignment horizontal="right"/>
    </xf>
    <xf numFmtId="0" fontId="7" fillId="0" borderId="16" xfId="0" applyFont="1" applyBorder="1" applyAlignment="1">
      <alignment horizontal="right"/>
    </xf>
    <xf numFmtId="0" fontId="7" fillId="0" borderId="17" xfId="0" applyFont="1" applyFill="1" applyBorder="1" applyAlignment="1">
      <alignment horizontal="right"/>
    </xf>
    <xf numFmtId="0" fontId="7" fillId="0" borderId="17" xfId="0" applyFont="1" applyBorder="1" applyAlignment="1">
      <alignment horizontal="right"/>
    </xf>
    <xf numFmtId="0" fontId="7" fillId="0" borderId="18" xfId="0" applyFont="1" applyBorder="1" applyAlignment="1">
      <alignment horizontal="right"/>
    </xf>
    <xf numFmtId="0" fontId="7" fillId="0" borderId="19" xfId="0" applyFont="1" applyBorder="1" applyAlignment="1">
      <alignment horizontal="right"/>
    </xf>
    <xf numFmtId="0" fontId="7" fillId="0" borderId="0" xfId="0" applyFont="1"/>
    <xf numFmtId="0" fontId="0" fillId="0" borderId="16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8" xfId="0" applyFont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4" xfId="0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5" borderId="0" xfId="0" applyFill="1"/>
    <xf numFmtId="0" fontId="5" fillId="5" borderId="0" xfId="0" applyFont="1" applyFill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480272</xdr:colOff>
      <xdr:row>9</xdr:row>
      <xdr:rowOff>123825</xdr:rowOff>
    </xdr:from>
    <xdr:to>
      <xdr:col>7</xdr:col>
      <xdr:colOff>323850</xdr:colOff>
      <xdr:row>9</xdr:row>
      <xdr:rowOff>127315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F0DD34C-F610-4FD0-BBEC-414F3FA33313}"/>
            </a:ext>
          </a:extLst>
        </xdr:cNvPr>
        <xdr:cNvCxnSpPr/>
      </xdr:nvCxnSpPr>
      <xdr:spPr>
        <a:xfrm flipV="1">
          <a:off x="5899997" y="2419350"/>
          <a:ext cx="453178" cy="349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9465</xdr:colOff>
      <xdr:row>9</xdr:row>
      <xdr:rowOff>185057</xdr:rowOff>
    </xdr:from>
    <xdr:to>
      <xdr:col>8</xdr:col>
      <xdr:colOff>593272</xdr:colOff>
      <xdr:row>14</xdr:row>
      <xdr:rowOff>203515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C45505E-2BED-4DBF-AE56-8A908FB2CC97}"/>
            </a:ext>
          </a:extLst>
        </xdr:cNvPr>
        <xdr:cNvCxnSpPr/>
      </xdr:nvCxnSpPr>
      <xdr:spPr>
        <a:xfrm flipV="1">
          <a:off x="4820951" y="1377043"/>
          <a:ext cx="2652092" cy="119411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14907</xdr:colOff>
      <xdr:row>7</xdr:row>
      <xdr:rowOff>179614</xdr:rowOff>
    </xdr:from>
    <xdr:to>
      <xdr:col>8</xdr:col>
      <xdr:colOff>560615</xdr:colOff>
      <xdr:row>13</xdr:row>
      <xdr:rowOff>203515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A222D92-1936-4615-9BC5-4BA0EE46FA4F}"/>
            </a:ext>
          </a:extLst>
        </xdr:cNvPr>
        <xdr:cNvCxnSpPr/>
      </xdr:nvCxnSpPr>
      <xdr:spPr>
        <a:xfrm flipV="1">
          <a:off x="4826393" y="1981200"/>
          <a:ext cx="2613993" cy="1449929"/>
        </a:xfrm>
        <a:prstGeom prst="straightConnector1">
          <a:avLst/>
        </a:prstGeom>
        <a:ln>
          <a:solidFill>
            <a:schemeClr val="accent2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608179</xdr:colOff>
      <xdr:row>4</xdr:row>
      <xdr:rowOff>163286</xdr:rowOff>
    </xdr:from>
    <xdr:to>
      <xdr:col>8</xdr:col>
      <xdr:colOff>555172</xdr:colOff>
      <xdr:row>10</xdr:row>
      <xdr:rowOff>198072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8CE355A-F9F3-4398-AD5A-6F820299C703}"/>
            </a:ext>
          </a:extLst>
        </xdr:cNvPr>
        <xdr:cNvCxnSpPr/>
      </xdr:nvCxnSpPr>
      <xdr:spPr>
        <a:xfrm flipV="1">
          <a:off x="4810065" y="1268186"/>
          <a:ext cx="2624878" cy="1449929"/>
        </a:xfrm>
        <a:prstGeom prst="straightConnector1">
          <a:avLst/>
        </a:prstGeom>
        <a:ln>
          <a:solidFill>
            <a:schemeClr val="accent6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590490</xdr:colOff>
      <xdr:row>12</xdr:row>
      <xdr:rowOff>152400</xdr:rowOff>
    </xdr:from>
    <xdr:to>
      <xdr:col>8</xdr:col>
      <xdr:colOff>533400</xdr:colOff>
      <xdr:row>17</xdr:row>
      <xdr:rowOff>236172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43E1275-90FC-49E2-B546-D48D8801E183}"/>
            </a:ext>
          </a:extLst>
        </xdr:cNvPr>
        <xdr:cNvCxnSpPr/>
      </xdr:nvCxnSpPr>
      <xdr:spPr>
        <a:xfrm flipV="1">
          <a:off x="4791015" y="3124200"/>
          <a:ext cx="2676585" cy="1274397"/>
        </a:xfrm>
        <a:prstGeom prst="straightConnector1">
          <a:avLst/>
        </a:prstGeom>
        <a:ln>
          <a:solidFill>
            <a:srgbClr val="FFC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476250</xdr:colOff>
      <xdr:row>4</xdr:row>
      <xdr:rowOff>152399</xdr:rowOff>
    </xdr:from>
    <xdr:to>
      <xdr:col>21</xdr:col>
      <xdr:colOff>257175</xdr:colOff>
      <xdr:row>19</xdr:row>
      <xdr:rowOff>209549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08ADDA-269E-41AF-B20C-BE65BA903A8A}"/>
            </a:ext>
          </a:extLst>
        </xdr:cNvPr>
        <xdr:cNvSpPr txBox="1"/>
      </xdr:nvSpPr>
      <xdr:spPr>
        <a:xfrm>
          <a:off x="11506200" y="1000124"/>
          <a:ext cx="3438525" cy="3305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Q's:</a:t>
          </a:r>
        </a:p>
        <a:p>
          <a:r>
            <a:rPr lang="en-US" sz="1100"/>
            <a:t>-why is nRyrs nyrs+A and not nyrs+a_max?</a:t>
          </a:r>
        </a:p>
        <a:p>
          <a:r>
            <a:rPr lang="en-US" sz="1100"/>
            <a:t>-are these final years of "missed"</a:t>
          </a:r>
          <a:r>
            <a:rPr lang="en-US" sz="1100" baseline="0"/>
            <a:t> age classes  just trimmed from the data?</a:t>
          </a:r>
        </a:p>
        <a:p>
          <a:endParaRPr lang="en-US" sz="1100" baseline="0"/>
        </a:p>
        <a:p>
          <a:r>
            <a:rPr lang="en-US" sz="1100" baseline="0"/>
            <a:t>-are the recruitment states before the start of data, or after the end?</a:t>
          </a:r>
        </a:p>
        <a:p>
          <a:endParaRPr lang="en-US" sz="1100" baseline="0"/>
        </a:p>
        <a:p>
          <a:r>
            <a:rPr lang="en-US" sz="1100" baseline="0"/>
            <a:t>-when plotting, why chop 7 off front, and 4 off the end?</a:t>
          </a:r>
        </a:p>
        <a:p>
          <a:endParaRPr lang="en-US" sz="1100" baseline="0"/>
        </a:p>
        <a:p>
          <a:r>
            <a:rPr lang="en-US" sz="1100" baseline="0"/>
            <a:t>previous obs Nt,1*R, proportion of recruits that matured from the brood year, then they are summed across the row, and they are subtracted 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laser, Dylan (DFO/MPO)" id="{651AF6EA-78CC-4027-B499-DC50870F7D1F}" userId="S::Dylan.Glaser@dfo-mpo.gc.ca::d7b0f4c8-a2fa-4be3-b9df-3ce8a26a562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6-02-19T21:42:59.13" personId="{651AF6EA-78CC-4027-B499-DC50870F7D1F}" id="{BA08DEE2-E61A-4823-A50A-B4CDB340B732}">
    <text>Idk if keeping this column makes sense, or maybe just indexing it by nRyrs</text>
  </threadedComment>
  <threadedComment ref="I9" dT="2026-02-17T19:39:27.06" personId="{651AF6EA-78CC-4027-B499-DC50870F7D1F}" id="{29E0DDFB-BA6C-418F-9717-2A5AB44FA9E2}">
    <text>nRyrs in BC’s code</text>
  </threadedComment>
  <threadedComment ref="C10" dT="2025-01-29T19:17:07.95" personId="{651AF6EA-78CC-4027-B499-DC50870F7D1F}" id="{DCDF1D7E-A95B-4F1F-9918-987D89D9D6F4}">
    <text>N minus harvest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5-01-22T23:07:39.82" personId="{651AF6EA-78CC-4027-B499-DC50870F7D1F}" id="{F29BB623-3AA6-4216-907A-3CDC374C81AB}">
    <text>And this is by return year?</text>
  </threadedComment>
  <threadedComment ref="H10" dT="2025-01-28T00:56:13.92" personId="{651AF6EA-78CC-4027-B499-DC50870F7D1F}" id="{5AAC5187-577D-488D-9925-EBA39BB456C9}">
    <text>Should I scoot this up?</text>
  </threadedComment>
  <threadedComment ref="J10" dT="2025-01-22T18:54:53.72" personId="{651AF6EA-78CC-4027-B499-DC50870F7D1F}" id="{167A114F-183C-4F59-909D-7F2A6E7DF4AF}">
    <text>How tf does this line up?</text>
  </threadedComment>
  <threadedComment ref="A11" dT="2025-01-22T18:51:46.20" personId="{651AF6EA-78CC-4027-B499-DC50870F7D1F}" id="{5FE8C79B-9A7B-4891-B73D-DDA9AD9CA2A3}">
    <text>Unlinked to previous recruits</text>
  </threadedComment>
  <threadedComment ref="C11" dT="2025-01-27T21:36:18.81" personId="{651AF6EA-78CC-4027-B499-DC50870F7D1F}" id="{27BB3287-60AB-4915-9FBE-CAF496FB93B8}">
    <text>=H6*L6
i.e. the proportion from the brood year that matured. How does harvest work in here?</text>
  </threadedComment>
  <threadedComment ref="A18" dT="2025-01-22T16:40:45.82" personId="{651AF6EA-78CC-4027-B499-DC50870F7D1F}" id="{67F72C96-7418-4BFF-BAE9-1947AECC584B}">
    <text xml:space="preserve">The first year you have the data for a full cohort of recruits.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1D794-E7FA-4CC0-8420-51F454995B8F}">
  <dimension ref="A1:V29"/>
  <sheetViews>
    <sheetView tabSelected="1" zoomScaleNormal="100" workbookViewId="0">
      <selection activeCell="K26" sqref="K26"/>
    </sheetView>
  </sheetViews>
  <sheetFormatPr defaultRowHeight="15" x14ac:dyDescent="0.25"/>
  <cols>
    <col min="1" max="1" width="26.7109375" customWidth="1"/>
    <col min="2" max="2" width="14.5703125" customWidth="1"/>
    <col min="3" max="3" width="12.5703125" customWidth="1"/>
    <col min="7" max="7" width="10" customWidth="1"/>
    <col min="8" max="8" width="12.7109375" customWidth="1"/>
    <col min="9" max="9" width="20" customWidth="1"/>
    <col min="15" max="15" width="15.42578125" customWidth="1"/>
    <col min="17" max="17" width="11.42578125" customWidth="1"/>
    <col min="18" max="18" width="10.85546875" customWidth="1"/>
    <col min="19" max="19" width="11.5703125" customWidth="1"/>
  </cols>
  <sheetData>
    <row r="1" spans="1:22" x14ac:dyDescent="0.25">
      <c r="A1" t="s">
        <v>162</v>
      </c>
      <c r="I1" s="53"/>
      <c r="J1" s="34" t="s">
        <v>200</v>
      </c>
      <c r="K1" s="34" t="s">
        <v>174</v>
      </c>
      <c r="L1" s="34" t="s">
        <v>163</v>
      </c>
      <c r="P1" t="s">
        <v>186</v>
      </c>
      <c r="R1" t="s">
        <v>198</v>
      </c>
      <c r="S1" t="s">
        <v>199</v>
      </c>
    </row>
    <row r="2" spans="1:22" ht="18" x14ac:dyDescent="0.35">
      <c r="A2" t="s">
        <v>161</v>
      </c>
      <c r="I2" s="54" t="s">
        <v>169</v>
      </c>
      <c r="K2">
        <v>1</v>
      </c>
      <c r="L2" t="s">
        <v>175</v>
      </c>
      <c r="P2" t="s">
        <v>189</v>
      </c>
    </row>
    <row r="3" spans="1:22" ht="18" x14ac:dyDescent="0.35">
      <c r="A3" t="s">
        <v>161</v>
      </c>
      <c r="I3" s="54" t="s">
        <v>165</v>
      </c>
      <c r="K3">
        <v>2</v>
      </c>
      <c r="L3" t="s">
        <v>176</v>
      </c>
    </row>
    <row r="4" spans="1:22" ht="18" x14ac:dyDescent="0.35">
      <c r="A4" t="s">
        <v>161</v>
      </c>
      <c r="I4" s="54" t="s">
        <v>166</v>
      </c>
      <c r="K4">
        <v>3</v>
      </c>
      <c r="L4" t="s">
        <v>177</v>
      </c>
    </row>
    <row r="5" spans="1:22" ht="18" x14ac:dyDescent="0.35">
      <c r="A5" t="s">
        <v>161</v>
      </c>
      <c r="C5" s="5"/>
      <c r="D5" s="5"/>
      <c r="E5" s="5"/>
      <c r="F5" s="5"/>
      <c r="G5" s="5"/>
      <c r="H5" s="5"/>
      <c r="I5" s="54" t="s">
        <v>167</v>
      </c>
      <c r="K5">
        <v>4</v>
      </c>
      <c r="L5" s="25" t="s">
        <v>178</v>
      </c>
      <c r="N5" s="23"/>
      <c r="P5" t="s">
        <v>188</v>
      </c>
    </row>
    <row r="6" spans="1:22" ht="18" x14ac:dyDescent="0.35">
      <c r="A6" t="s">
        <v>161</v>
      </c>
      <c r="C6" s="5"/>
      <c r="D6" s="5"/>
      <c r="E6" s="5"/>
      <c r="F6" s="5"/>
      <c r="G6" s="5"/>
      <c r="H6" s="5"/>
      <c r="I6" s="54" t="s">
        <v>168</v>
      </c>
      <c r="K6">
        <v>5</v>
      </c>
      <c r="L6" s="25" t="s">
        <v>178</v>
      </c>
      <c r="P6" t="s">
        <v>187</v>
      </c>
    </row>
    <row r="7" spans="1:22" ht="18" x14ac:dyDescent="0.35">
      <c r="A7" t="s">
        <v>161</v>
      </c>
      <c r="C7" s="5"/>
      <c r="D7" s="5"/>
      <c r="E7" s="5"/>
      <c r="F7" s="5"/>
      <c r="G7" s="5"/>
      <c r="H7" s="5"/>
      <c r="I7" s="54" t="s">
        <v>164</v>
      </c>
      <c r="K7">
        <v>6</v>
      </c>
      <c r="L7" s="25" t="s">
        <v>178</v>
      </c>
    </row>
    <row r="8" spans="1:22" ht="18" x14ac:dyDescent="0.35">
      <c r="A8" t="s">
        <v>161</v>
      </c>
      <c r="C8" s="5"/>
      <c r="D8" s="43" t="s">
        <v>155</v>
      </c>
      <c r="E8" s="43"/>
      <c r="F8" s="43"/>
      <c r="G8" s="43"/>
      <c r="H8" s="5"/>
      <c r="I8" s="55" t="s">
        <v>160</v>
      </c>
      <c r="J8" s="5"/>
      <c r="K8">
        <v>7</v>
      </c>
      <c r="L8" s="25" t="s">
        <v>178</v>
      </c>
      <c r="R8" s="41"/>
      <c r="S8" s="42"/>
      <c r="T8" s="42"/>
      <c r="U8" s="42"/>
      <c r="V8" s="5"/>
    </row>
    <row r="9" spans="1:22" ht="18.75" thickBot="1" x14ac:dyDescent="0.4">
      <c r="A9" s="9" t="s">
        <v>130</v>
      </c>
      <c r="B9" s="8" t="s">
        <v>129</v>
      </c>
      <c r="C9" s="8" t="s">
        <v>0</v>
      </c>
      <c r="D9" s="8" t="s">
        <v>156</v>
      </c>
      <c r="E9" s="8" t="s">
        <v>157</v>
      </c>
      <c r="F9" s="8" t="s">
        <v>158</v>
      </c>
      <c r="G9" s="8" t="s">
        <v>159</v>
      </c>
      <c r="H9" s="8" t="s">
        <v>5</v>
      </c>
      <c r="I9" s="56" t="s">
        <v>112</v>
      </c>
      <c r="J9" s="5"/>
      <c r="R9" s="5"/>
      <c r="S9" s="5"/>
      <c r="T9" s="5"/>
      <c r="U9" s="5"/>
      <c r="V9" s="5"/>
    </row>
    <row r="10" spans="1:22" ht="18.75" thickBot="1" x14ac:dyDescent="0.4">
      <c r="A10" s="9" t="s">
        <v>130</v>
      </c>
      <c r="B10" s="8">
        <v>1</v>
      </c>
      <c r="C10" s="8" t="s">
        <v>6</v>
      </c>
      <c r="D10" s="19" t="s">
        <v>20</v>
      </c>
      <c r="E10" s="10" t="s">
        <v>131</v>
      </c>
      <c r="F10" s="10" t="s">
        <v>134</v>
      </c>
      <c r="G10" s="11" t="s">
        <v>135</v>
      </c>
      <c r="H10" s="8" t="s">
        <v>34</v>
      </c>
      <c r="I10" s="54" t="s">
        <v>128</v>
      </c>
      <c r="J10">
        <v>1</v>
      </c>
      <c r="K10">
        <v>8</v>
      </c>
      <c r="L10" s="25" t="s">
        <v>182</v>
      </c>
      <c r="R10" s="5">
        <v>1</v>
      </c>
      <c r="S10" s="5" t="s">
        <v>201</v>
      </c>
      <c r="T10" s="5"/>
      <c r="U10" s="5"/>
      <c r="V10" s="5"/>
    </row>
    <row r="11" spans="1:22" ht="18.75" thickBot="1" x14ac:dyDescent="0.4">
      <c r="A11" s="9" t="s">
        <v>130</v>
      </c>
      <c r="B11" s="8">
        <v>2</v>
      </c>
      <c r="C11" s="8" t="s">
        <v>7</v>
      </c>
      <c r="D11" s="8" t="s">
        <v>21</v>
      </c>
      <c r="E11" s="20" t="s">
        <v>132</v>
      </c>
      <c r="F11" s="20" t="s">
        <v>136</v>
      </c>
      <c r="G11" s="8" t="s">
        <v>137</v>
      </c>
      <c r="H11" s="8" t="s">
        <v>33</v>
      </c>
      <c r="I11" s="56" t="s">
        <v>92</v>
      </c>
      <c r="J11">
        <v>2</v>
      </c>
      <c r="K11">
        <v>9</v>
      </c>
      <c r="L11" s="25" t="s">
        <v>182</v>
      </c>
      <c r="R11" s="5">
        <v>2</v>
      </c>
      <c r="S11" s="5">
        <v>9</v>
      </c>
      <c r="T11" s="5"/>
      <c r="U11" s="5"/>
      <c r="V11" s="5"/>
    </row>
    <row r="12" spans="1:22" ht="18.75" thickBot="1" x14ac:dyDescent="0.4">
      <c r="A12" s="9" t="s">
        <v>130</v>
      </c>
      <c r="B12" s="8">
        <v>3</v>
      </c>
      <c r="C12" s="8" t="s">
        <v>8</v>
      </c>
      <c r="D12" s="8" t="s">
        <v>22</v>
      </c>
      <c r="E12" s="21" t="s">
        <v>138</v>
      </c>
      <c r="F12" s="22" t="s">
        <v>139</v>
      </c>
      <c r="G12" s="8" t="s">
        <v>140</v>
      </c>
      <c r="H12" s="8" t="s">
        <v>32</v>
      </c>
      <c r="I12" s="56" t="s">
        <v>93</v>
      </c>
      <c r="J12">
        <v>3</v>
      </c>
      <c r="K12">
        <v>10</v>
      </c>
      <c r="L12" s="25" t="s">
        <v>182</v>
      </c>
      <c r="R12" s="5">
        <v>3</v>
      </c>
      <c r="S12" s="5">
        <v>10</v>
      </c>
      <c r="T12" s="5"/>
      <c r="U12" s="5"/>
      <c r="V12" s="5"/>
    </row>
    <row r="13" spans="1:22" ht="18.75" thickBot="1" x14ac:dyDescent="0.4">
      <c r="A13" s="9" t="s">
        <v>130</v>
      </c>
      <c r="B13" s="8">
        <v>4</v>
      </c>
      <c r="C13" s="15" t="s">
        <v>9</v>
      </c>
      <c r="D13" s="14" t="s">
        <v>36</v>
      </c>
      <c r="E13" s="16" t="s">
        <v>133</v>
      </c>
      <c r="F13" s="8" t="s">
        <v>141</v>
      </c>
      <c r="G13" s="22" t="s">
        <v>142</v>
      </c>
      <c r="H13" s="8" t="s">
        <v>80</v>
      </c>
      <c r="I13" s="56" t="s">
        <v>110</v>
      </c>
      <c r="J13">
        <v>4</v>
      </c>
      <c r="K13">
        <v>11</v>
      </c>
      <c r="L13" s="25" t="s">
        <v>183</v>
      </c>
      <c r="R13" s="5">
        <v>4</v>
      </c>
      <c r="S13" s="5">
        <v>11</v>
      </c>
      <c r="T13" s="5"/>
      <c r="U13" s="5"/>
      <c r="V13" s="5"/>
    </row>
    <row r="14" spans="1:22" ht="18.75" thickBot="1" x14ac:dyDescent="0.4">
      <c r="A14" s="9" t="s">
        <v>130</v>
      </c>
      <c r="B14" s="8">
        <v>5</v>
      </c>
      <c r="C14" s="8" t="s">
        <v>10</v>
      </c>
      <c r="D14" s="13" t="s">
        <v>44</v>
      </c>
      <c r="E14" s="18" t="s">
        <v>143</v>
      </c>
      <c r="F14" s="8" t="s">
        <v>144</v>
      </c>
      <c r="G14" s="8" t="s">
        <v>145</v>
      </c>
      <c r="H14" s="8" t="s">
        <v>81</v>
      </c>
      <c r="I14" s="56" t="s">
        <v>94</v>
      </c>
      <c r="J14">
        <v>5</v>
      </c>
      <c r="K14">
        <v>12</v>
      </c>
      <c r="L14" s="25" t="s">
        <v>184</v>
      </c>
      <c r="R14" s="5">
        <v>5</v>
      </c>
      <c r="S14" s="5">
        <v>12</v>
      </c>
      <c r="T14" s="5"/>
      <c r="U14" s="5"/>
      <c r="V14" s="5"/>
    </row>
    <row r="15" spans="1:22" ht="18.75" thickBot="1" x14ac:dyDescent="0.4">
      <c r="A15" s="9" t="s">
        <v>130</v>
      </c>
      <c r="B15" s="8">
        <v>6</v>
      </c>
      <c r="C15" s="8" t="s">
        <v>11</v>
      </c>
      <c r="D15" s="8" t="s">
        <v>45</v>
      </c>
      <c r="E15" s="13" t="s">
        <v>146</v>
      </c>
      <c r="F15" s="18" t="s">
        <v>147</v>
      </c>
      <c r="G15" s="8" t="s">
        <v>148</v>
      </c>
      <c r="H15" s="8" t="s">
        <v>82</v>
      </c>
      <c r="I15" s="56" t="s">
        <v>95</v>
      </c>
      <c r="J15">
        <v>6</v>
      </c>
      <c r="K15">
        <v>13</v>
      </c>
      <c r="L15" s="25" t="s">
        <v>185</v>
      </c>
      <c r="R15" s="5" t="s">
        <v>196</v>
      </c>
      <c r="S15" s="5" t="s">
        <v>174</v>
      </c>
      <c r="T15" s="5"/>
      <c r="U15" s="5"/>
      <c r="V15" s="5"/>
    </row>
    <row r="16" spans="1:22" ht="18.75" thickBot="1" x14ac:dyDescent="0.4">
      <c r="A16" s="9" t="s">
        <v>130</v>
      </c>
      <c r="B16" s="8">
        <v>7</v>
      </c>
      <c r="C16" s="8" t="s">
        <v>12</v>
      </c>
      <c r="D16" s="8" t="s">
        <v>46</v>
      </c>
      <c r="E16" s="12" t="s">
        <v>149</v>
      </c>
      <c r="F16" s="13" t="s">
        <v>150</v>
      </c>
      <c r="G16" s="17" t="s">
        <v>151</v>
      </c>
      <c r="H16" s="16" t="s">
        <v>83</v>
      </c>
      <c r="I16" s="56" t="s">
        <v>96</v>
      </c>
      <c r="J16">
        <v>7</v>
      </c>
      <c r="R16" s="5"/>
      <c r="S16" s="5"/>
      <c r="T16" s="5"/>
      <c r="U16" s="5"/>
      <c r="V16" s="5"/>
    </row>
    <row r="17" spans="1:22" ht="18.75" thickBot="1" x14ac:dyDescent="0.4">
      <c r="A17" s="9" t="s">
        <v>130</v>
      </c>
      <c r="B17" s="8">
        <v>8</v>
      </c>
      <c r="C17" s="8" t="s">
        <v>13</v>
      </c>
      <c r="D17" s="48" t="s">
        <v>47</v>
      </c>
      <c r="E17" s="8" t="s">
        <v>152</v>
      </c>
      <c r="F17" s="8" t="s">
        <v>153</v>
      </c>
      <c r="G17" s="13" t="s">
        <v>154</v>
      </c>
      <c r="H17" s="8" t="s">
        <v>84</v>
      </c>
      <c r="I17" s="56" t="s">
        <v>97</v>
      </c>
      <c r="J17" s="5">
        <v>8</v>
      </c>
      <c r="R17" s="5"/>
      <c r="S17" s="5"/>
      <c r="T17" s="5"/>
      <c r="U17" s="5"/>
      <c r="V17" s="5"/>
    </row>
    <row r="18" spans="1:22" ht="18.75" thickBot="1" x14ac:dyDescent="0.4">
      <c r="A18" s="9" t="s">
        <v>130</v>
      </c>
      <c r="B18" s="8">
        <v>9</v>
      </c>
      <c r="C18" s="8" t="s">
        <v>14</v>
      </c>
      <c r="D18" s="24" t="s">
        <v>48</v>
      </c>
      <c r="E18" s="50" t="s">
        <v>190</v>
      </c>
      <c r="F18" s="49" t="s">
        <v>191</v>
      </c>
      <c r="G18" s="24" t="s">
        <v>192</v>
      </c>
      <c r="H18" s="8" t="s">
        <v>85</v>
      </c>
      <c r="I18" s="56" t="s">
        <v>98</v>
      </c>
      <c r="J18" s="26">
        <v>9</v>
      </c>
      <c r="L18" s="27" t="s">
        <v>170</v>
      </c>
      <c r="M18" s="28">
        <v>10</v>
      </c>
      <c r="N18" s="8"/>
      <c r="O18" s="44" t="s">
        <v>179</v>
      </c>
      <c r="P18" s="45"/>
      <c r="Q18" s="46"/>
      <c r="R18" s="5"/>
      <c r="S18" s="5"/>
      <c r="T18" s="5"/>
      <c r="U18" s="5"/>
      <c r="V18" s="5"/>
    </row>
    <row r="19" spans="1:22" ht="18.75" thickBot="1" x14ac:dyDescent="0.4">
      <c r="A19" s="9" t="s">
        <v>130</v>
      </c>
      <c r="B19" s="9">
        <v>10</v>
      </c>
      <c r="C19" s="8" t="s">
        <v>15</v>
      </c>
      <c r="D19" s="24" t="s">
        <v>40</v>
      </c>
      <c r="E19" s="51" t="s">
        <v>193</v>
      </c>
      <c r="F19" s="52" t="s">
        <v>194</v>
      </c>
      <c r="G19" s="49" t="s">
        <v>195</v>
      </c>
      <c r="H19" s="8" t="s">
        <v>86</v>
      </c>
      <c r="I19" s="56" t="s">
        <v>99</v>
      </c>
      <c r="J19" s="5">
        <v>10</v>
      </c>
      <c r="L19" s="29" t="s">
        <v>171</v>
      </c>
      <c r="M19" s="30">
        <v>4</v>
      </c>
      <c r="N19" s="9"/>
      <c r="O19" s="35" t="s">
        <v>0</v>
      </c>
      <c r="P19" s="36" t="s">
        <v>197</v>
      </c>
      <c r="Q19" s="37"/>
      <c r="S19" s="5"/>
      <c r="T19" s="5"/>
      <c r="U19" s="5"/>
      <c r="V19" s="5"/>
    </row>
    <row r="20" spans="1:22" ht="15.75" thickBot="1" x14ac:dyDescent="0.3">
      <c r="A20" s="9"/>
      <c r="B20" s="9"/>
      <c r="C20" s="8"/>
      <c r="D20" s="8"/>
      <c r="E20" s="8"/>
      <c r="F20" s="8"/>
      <c r="G20" s="8"/>
      <c r="H20" s="8"/>
      <c r="I20" s="8"/>
      <c r="J20" s="5"/>
      <c r="L20" s="29" t="s">
        <v>172</v>
      </c>
      <c r="M20" s="31">
        <v>7</v>
      </c>
      <c r="N20" s="9"/>
      <c r="O20" s="38" t="s">
        <v>180</v>
      </c>
      <c r="P20" s="39" t="s">
        <v>181</v>
      </c>
      <c r="Q20" s="40"/>
      <c r="R20" s="5"/>
      <c r="S20" s="5"/>
      <c r="T20" s="5"/>
      <c r="U20" s="5"/>
      <c r="V20" s="5"/>
    </row>
    <row r="21" spans="1:22" x14ac:dyDescent="0.25">
      <c r="A21" s="9"/>
      <c r="H21" s="8"/>
      <c r="I21" s="8"/>
      <c r="J21" s="5"/>
      <c r="L21" s="29" t="s">
        <v>173</v>
      </c>
      <c r="M21" s="31">
        <f>M20-M19+1</f>
        <v>4</v>
      </c>
      <c r="N21" s="8"/>
      <c r="O21" s="8"/>
      <c r="P21" s="8"/>
      <c r="Q21" s="8"/>
      <c r="R21" s="5"/>
      <c r="S21" s="5"/>
      <c r="T21" s="5"/>
      <c r="U21" s="5"/>
      <c r="V21" s="5"/>
    </row>
    <row r="22" spans="1:22" ht="15.75" thickBot="1" x14ac:dyDescent="0.3">
      <c r="A22" s="9"/>
      <c r="H22" s="8"/>
      <c r="I22" s="8"/>
      <c r="J22" s="5"/>
      <c r="L22" s="32" t="s">
        <v>174</v>
      </c>
      <c r="M22" s="33">
        <f>M18+M21-1</f>
        <v>13</v>
      </c>
      <c r="N22" s="5"/>
      <c r="O22" s="5"/>
      <c r="P22" s="5"/>
      <c r="Q22" s="5"/>
      <c r="R22" s="5"/>
      <c r="S22" s="5"/>
      <c r="T22" s="5"/>
      <c r="U22" s="5"/>
      <c r="V22" s="5"/>
    </row>
    <row r="23" spans="1:22" x14ac:dyDescent="0.25">
      <c r="A23" s="9"/>
      <c r="H23" s="8"/>
      <c r="I23" s="8"/>
      <c r="J23" s="5"/>
      <c r="R23" s="5"/>
      <c r="S23" s="5"/>
      <c r="T23" s="5"/>
      <c r="U23" s="5"/>
      <c r="V23" s="5"/>
    </row>
    <row r="24" spans="1:22" x14ac:dyDescent="0.25">
      <c r="A24" s="9"/>
      <c r="H24" s="8"/>
      <c r="I24" s="8"/>
      <c r="J24" s="5"/>
      <c r="R24" s="5"/>
      <c r="S24" s="5"/>
      <c r="T24" s="5"/>
      <c r="U24" s="5"/>
      <c r="V24" s="5"/>
    </row>
    <row r="25" spans="1:22" x14ac:dyDescent="0.25">
      <c r="H25" s="5"/>
    </row>
    <row r="26" spans="1:22" x14ac:dyDescent="0.25">
      <c r="D26" s="5"/>
      <c r="E26" s="5"/>
      <c r="F26" s="5"/>
      <c r="G26" s="5"/>
    </row>
    <row r="27" spans="1:22" x14ac:dyDescent="0.25">
      <c r="D27" s="5"/>
      <c r="E27" s="5"/>
      <c r="F27" s="5"/>
      <c r="G27" s="5"/>
    </row>
    <row r="28" spans="1:22" x14ac:dyDescent="0.25">
      <c r="D28" s="5"/>
      <c r="E28" s="5"/>
      <c r="F28" s="5"/>
      <c r="G28" s="5"/>
    </row>
    <row r="29" spans="1:22" x14ac:dyDescent="0.25">
      <c r="D29" s="5"/>
      <c r="E29" s="5"/>
      <c r="F29" s="5"/>
      <c r="G29" s="5"/>
    </row>
  </sheetData>
  <mergeCells count="3">
    <mergeCell ref="R8:U8"/>
    <mergeCell ref="D8:G8"/>
    <mergeCell ref="O18:Q18"/>
  </mergeCells>
  <phoneticPr fontId="3" type="noConversion"/>
  <pageMargins left="0.7" right="0.7" top="0.75" bottom="0.75" header="0.3" footer="0.3"/>
  <headerFooter>
    <oddHeader>&amp;R&amp;"Calibri"&amp;12&amp;K000000 Unclassified - Non-Classifié&amp;1#_x000D_</oddHead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49F5-467D-475F-9800-A663F6E98A13}">
  <dimension ref="A1:O37"/>
  <sheetViews>
    <sheetView zoomScaleNormal="100" workbookViewId="0">
      <selection activeCell="R22" sqref="R22"/>
    </sheetView>
  </sheetViews>
  <sheetFormatPr defaultRowHeight="15" x14ac:dyDescent="0.25"/>
  <cols>
    <col min="1" max="1" width="17.28515625" customWidth="1"/>
    <col min="2" max="2" width="12.5703125" customWidth="1"/>
    <col min="7" max="7" width="12.7109375" customWidth="1"/>
    <col min="8" max="9" width="11.5703125" customWidth="1"/>
    <col min="10" max="10" width="17.42578125" customWidth="1"/>
  </cols>
  <sheetData>
    <row r="1" spans="1:15" ht="18" x14ac:dyDescent="0.35">
      <c r="L1" s="47" t="s">
        <v>113</v>
      </c>
      <c r="M1" s="47"/>
      <c r="N1" s="47"/>
      <c r="O1" s="47"/>
    </row>
    <row r="2" spans="1:15" x14ac:dyDescent="0.25">
      <c r="L2">
        <v>1</v>
      </c>
      <c r="M2">
        <v>2</v>
      </c>
      <c r="N2">
        <v>3</v>
      </c>
      <c r="O2">
        <v>4</v>
      </c>
    </row>
    <row r="3" spans="1:15" ht="18" x14ac:dyDescent="0.35">
      <c r="F3" s="2"/>
      <c r="I3" s="5">
        <v>0</v>
      </c>
      <c r="J3" s="5">
        <v>1</v>
      </c>
      <c r="L3" t="s">
        <v>114</v>
      </c>
      <c r="M3" t="s">
        <v>117</v>
      </c>
      <c r="N3" t="s">
        <v>118</v>
      </c>
      <c r="O3" t="s">
        <v>119</v>
      </c>
    </row>
    <row r="4" spans="1:15" ht="15.75" customHeight="1" x14ac:dyDescent="0.35">
      <c r="E4" s="2"/>
      <c r="I4" s="5">
        <v>0</v>
      </c>
      <c r="J4" s="5">
        <v>2</v>
      </c>
      <c r="L4" t="s">
        <v>116</v>
      </c>
      <c r="M4" t="s">
        <v>120</v>
      </c>
      <c r="N4" t="s">
        <v>121</v>
      </c>
      <c r="O4" t="s">
        <v>122</v>
      </c>
    </row>
    <row r="5" spans="1:15" ht="15.75" customHeight="1" x14ac:dyDescent="0.35">
      <c r="D5" s="2"/>
      <c r="I5" s="5">
        <v>0</v>
      </c>
      <c r="J5" s="5">
        <v>3</v>
      </c>
      <c r="L5" t="s">
        <v>115</v>
      </c>
      <c r="M5" t="s">
        <v>123</v>
      </c>
      <c r="N5" t="s">
        <v>124</v>
      </c>
      <c r="O5" t="s">
        <v>125</v>
      </c>
    </row>
    <row r="6" spans="1:15" x14ac:dyDescent="0.25">
      <c r="C6" s="7"/>
      <c r="H6" s="6"/>
      <c r="I6" s="5">
        <v>0</v>
      </c>
      <c r="J6" s="5">
        <v>4</v>
      </c>
      <c r="L6" s="6" t="s">
        <v>104</v>
      </c>
      <c r="M6" t="s">
        <v>104</v>
      </c>
      <c r="N6" t="s">
        <v>104</v>
      </c>
      <c r="O6" t="s">
        <v>104</v>
      </c>
    </row>
    <row r="7" spans="1:15" x14ac:dyDescent="0.25">
      <c r="I7" s="5">
        <v>0</v>
      </c>
      <c r="J7" s="5">
        <v>5</v>
      </c>
      <c r="L7" t="s">
        <v>104</v>
      </c>
      <c r="M7" t="s">
        <v>104</v>
      </c>
      <c r="N7" t="s">
        <v>104</v>
      </c>
      <c r="O7" t="s">
        <v>104</v>
      </c>
    </row>
    <row r="8" spans="1:15" x14ac:dyDescent="0.25">
      <c r="B8" t="s">
        <v>127</v>
      </c>
      <c r="I8" s="5">
        <v>0</v>
      </c>
      <c r="J8" s="5">
        <v>6</v>
      </c>
      <c r="L8" t="s">
        <v>104</v>
      </c>
      <c r="M8" t="s">
        <v>104</v>
      </c>
      <c r="N8" t="s">
        <v>104</v>
      </c>
      <c r="O8" t="s">
        <v>104</v>
      </c>
    </row>
    <row r="9" spans="1:15" ht="18" x14ac:dyDescent="0.35">
      <c r="B9" t="s">
        <v>126</v>
      </c>
      <c r="C9" s="47" t="s">
        <v>111</v>
      </c>
      <c r="D9" s="47"/>
      <c r="E9" s="47"/>
      <c r="F9" s="47"/>
      <c r="H9" s="5"/>
      <c r="I9" s="5">
        <v>0</v>
      </c>
      <c r="J9" s="5">
        <v>7</v>
      </c>
      <c r="L9" t="s">
        <v>104</v>
      </c>
      <c r="M9" t="s">
        <v>104</v>
      </c>
      <c r="N9" t="s">
        <v>104</v>
      </c>
      <c r="O9" t="s">
        <v>104</v>
      </c>
    </row>
    <row r="10" spans="1:15" x14ac:dyDescent="0.25">
      <c r="A10" s="1" t="s">
        <v>35</v>
      </c>
      <c r="B10" s="4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4" t="s">
        <v>112</v>
      </c>
      <c r="I10" s="4" t="s">
        <v>108</v>
      </c>
      <c r="J10" s="1" t="s">
        <v>107</v>
      </c>
      <c r="L10" t="s">
        <v>104</v>
      </c>
      <c r="M10" t="s">
        <v>104</v>
      </c>
      <c r="N10" t="s">
        <v>104</v>
      </c>
      <c r="O10" t="s">
        <v>104</v>
      </c>
    </row>
    <row r="11" spans="1:15" ht="18" x14ac:dyDescent="0.35">
      <c r="A11" s="3">
        <v>1</v>
      </c>
      <c r="B11" s="2" t="s">
        <v>6</v>
      </c>
      <c r="C11" s="6" t="s">
        <v>20</v>
      </c>
      <c r="D11" t="s">
        <v>26</v>
      </c>
      <c r="E11" t="s">
        <v>27</v>
      </c>
      <c r="F11" t="s">
        <v>28</v>
      </c>
      <c r="G11" t="s">
        <v>34</v>
      </c>
      <c r="H11" s="2" t="s">
        <v>91</v>
      </c>
      <c r="I11" t="s">
        <v>109</v>
      </c>
      <c r="J11" s="5">
        <v>8</v>
      </c>
      <c r="L11" t="s">
        <v>104</v>
      </c>
      <c r="M11" t="s">
        <v>104</v>
      </c>
      <c r="N11" t="s">
        <v>104</v>
      </c>
      <c r="O11" t="s">
        <v>104</v>
      </c>
    </row>
    <row r="12" spans="1:15" ht="18" x14ac:dyDescent="0.35">
      <c r="A12" s="3">
        <v>2</v>
      </c>
      <c r="B12" t="s">
        <v>7</v>
      </c>
      <c r="C12" t="s">
        <v>21</v>
      </c>
      <c r="D12" t="s">
        <v>23</v>
      </c>
      <c r="E12" t="s">
        <v>25</v>
      </c>
      <c r="F12" t="s">
        <v>29</v>
      </c>
      <c r="G12" t="s">
        <v>33</v>
      </c>
      <c r="H12" t="s">
        <v>92</v>
      </c>
      <c r="I12" t="s">
        <v>109</v>
      </c>
      <c r="J12" s="5">
        <v>9</v>
      </c>
      <c r="L12" t="s">
        <v>104</v>
      </c>
      <c r="M12" t="s">
        <v>104</v>
      </c>
      <c r="N12" t="s">
        <v>104</v>
      </c>
      <c r="O12" t="s">
        <v>104</v>
      </c>
    </row>
    <row r="13" spans="1:15" ht="18" x14ac:dyDescent="0.35">
      <c r="A13" s="3">
        <v>3</v>
      </c>
      <c r="B13" t="s">
        <v>8</v>
      </c>
      <c r="C13" s="5" t="s">
        <v>22</v>
      </c>
      <c r="D13" t="s">
        <v>24</v>
      </c>
      <c r="E13" t="s">
        <v>30</v>
      </c>
      <c r="F13" t="s">
        <v>31</v>
      </c>
      <c r="G13" t="s">
        <v>32</v>
      </c>
      <c r="H13" t="s">
        <v>93</v>
      </c>
      <c r="I13" t="s">
        <v>109</v>
      </c>
      <c r="J13" s="5">
        <v>10</v>
      </c>
      <c r="L13" t="s">
        <v>104</v>
      </c>
      <c r="M13" t="s">
        <v>104</v>
      </c>
      <c r="N13" t="s">
        <v>104</v>
      </c>
      <c r="O13" t="s">
        <v>104</v>
      </c>
    </row>
    <row r="14" spans="1:15" ht="18" x14ac:dyDescent="0.35">
      <c r="A14" s="3">
        <v>4</v>
      </c>
      <c r="B14" t="s">
        <v>9</v>
      </c>
      <c r="C14" s="5" t="s">
        <v>36</v>
      </c>
      <c r="D14" s="5" t="s">
        <v>37</v>
      </c>
      <c r="E14" t="s">
        <v>38</v>
      </c>
      <c r="F14" t="s">
        <v>39</v>
      </c>
      <c r="G14" t="s">
        <v>80</v>
      </c>
      <c r="H14" s="5" t="s">
        <v>110</v>
      </c>
      <c r="I14" t="s">
        <v>104</v>
      </c>
      <c r="J14" s="5">
        <v>11</v>
      </c>
      <c r="L14" t="s">
        <v>104</v>
      </c>
      <c r="M14" t="s">
        <v>104</v>
      </c>
      <c r="N14" t="s">
        <v>104</v>
      </c>
      <c r="O14" t="s">
        <v>104</v>
      </c>
    </row>
    <row r="15" spans="1:15" ht="18" x14ac:dyDescent="0.35">
      <c r="A15" s="3">
        <v>5</v>
      </c>
      <c r="B15" t="s">
        <v>10</v>
      </c>
      <c r="C15" s="2" t="s">
        <v>44</v>
      </c>
      <c r="D15" s="5" t="s">
        <v>50</v>
      </c>
      <c r="E15" s="5" t="s">
        <v>51</v>
      </c>
      <c r="F15" t="s">
        <v>52</v>
      </c>
      <c r="G15" t="s">
        <v>81</v>
      </c>
      <c r="H15" t="s">
        <v>94</v>
      </c>
      <c r="I15" t="s">
        <v>104</v>
      </c>
      <c r="J15" s="5">
        <v>12</v>
      </c>
      <c r="L15" t="s">
        <v>104</v>
      </c>
      <c r="M15" t="s">
        <v>104</v>
      </c>
      <c r="N15" t="s">
        <v>104</v>
      </c>
      <c r="O15" t="s">
        <v>104</v>
      </c>
    </row>
    <row r="16" spans="1:15" ht="18" x14ac:dyDescent="0.35">
      <c r="A16" s="3">
        <v>6</v>
      </c>
      <c r="B16" t="s">
        <v>11</v>
      </c>
      <c r="C16" t="s">
        <v>45</v>
      </c>
      <c r="D16" s="2" t="s">
        <v>53</v>
      </c>
      <c r="E16" s="5" t="s">
        <v>54</v>
      </c>
      <c r="F16" s="5" t="s">
        <v>55</v>
      </c>
      <c r="G16" t="s">
        <v>82</v>
      </c>
      <c r="H16" t="s">
        <v>95</v>
      </c>
      <c r="I16" t="s">
        <v>104</v>
      </c>
      <c r="J16" s="5">
        <v>13</v>
      </c>
      <c r="L16" t="s">
        <v>104</v>
      </c>
      <c r="M16" t="s">
        <v>104</v>
      </c>
      <c r="N16" t="s">
        <v>104</v>
      </c>
      <c r="O16" t="s">
        <v>104</v>
      </c>
    </row>
    <row r="17" spans="1:15" ht="18" x14ac:dyDescent="0.35">
      <c r="A17" s="3">
        <v>7</v>
      </c>
      <c r="B17" t="s">
        <v>12</v>
      </c>
      <c r="C17" t="s">
        <v>46</v>
      </c>
      <c r="D17" t="s">
        <v>56</v>
      </c>
      <c r="E17" s="2" t="s">
        <v>57</v>
      </c>
      <c r="F17" s="5" t="s">
        <v>58</v>
      </c>
      <c r="G17" t="s">
        <v>83</v>
      </c>
      <c r="H17" t="s">
        <v>96</v>
      </c>
      <c r="I17" t="s">
        <v>104</v>
      </c>
      <c r="J17" s="5">
        <v>14</v>
      </c>
      <c r="L17" t="s">
        <v>104</v>
      </c>
      <c r="M17" t="s">
        <v>104</v>
      </c>
      <c r="N17" t="s">
        <v>104</v>
      </c>
      <c r="O17" t="s">
        <v>104</v>
      </c>
    </row>
    <row r="18" spans="1:15" ht="18" x14ac:dyDescent="0.35">
      <c r="A18">
        <v>8</v>
      </c>
      <c r="B18" t="s">
        <v>13</v>
      </c>
      <c r="C18" t="s">
        <v>47</v>
      </c>
      <c r="D18" t="s">
        <v>59</v>
      </c>
      <c r="E18" t="s">
        <v>60</v>
      </c>
      <c r="F18" s="2" t="s">
        <v>61</v>
      </c>
      <c r="G18" t="s">
        <v>84</v>
      </c>
      <c r="H18" t="s">
        <v>97</v>
      </c>
      <c r="I18" t="s">
        <v>104</v>
      </c>
      <c r="J18" t="s">
        <v>104</v>
      </c>
      <c r="L18" t="s">
        <v>104</v>
      </c>
      <c r="M18" t="s">
        <v>104</v>
      </c>
      <c r="N18" t="s">
        <v>104</v>
      </c>
      <c r="O18" t="s">
        <v>104</v>
      </c>
    </row>
    <row r="19" spans="1:15" ht="18" x14ac:dyDescent="0.35">
      <c r="A19">
        <v>9</v>
      </c>
      <c r="B19" t="s">
        <v>14</v>
      </c>
      <c r="C19" t="s">
        <v>48</v>
      </c>
      <c r="D19" t="s">
        <v>62</v>
      </c>
      <c r="E19" t="s">
        <v>63</v>
      </c>
      <c r="F19" t="s">
        <v>64</v>
      </c>
      <c r="G19" t="s">
        <v>85</v>
      </c>
      <c r="H19" t="s">
        <v>98</v>
      </c>
      <c r="I19" t="s">
        <v>104</v>
      </c>
      <c r="J19" t="s">
        <v>104</v>
      </c>
      <c r="L19" t="s">
        <v>104</v>
      </c>
      <c r="M19" t="s">
        <v>104</v>
      </c>
      <c r="N19" t="s">
        <v>104</v>
      </c>
      <c r="O19" t="s">
        <v>104</v>
      </c>
    </row>
    <row r="20" spans="1:15" ht="18" x14ac:dyDescent="0.35">
      <c r="A20">
        <v>10</v>
      </c>
      <c r="B20" t="s">
        <v>15</v>
      </c>
      <c r="C20" t="s">
        <v>40</v>
      </c>
      <c r="D20" t="s">
        <v>65</v>
      </c>
      <c r="E20" t="s">
        <v>66</v>
      </c>
      <c r="F20" t="s">
        <v>67</v>
      </c>
      <c r="G20" t="s">
        <v>86</v>
      </c>
      <c r="H20" t="s">
        <v>99</v>
      </c>
      <c r="I20" t="s">
        <v>104</v>
      </c>
      <c r="J20" t="s">
        <v>104</v>
      </c>
      <c r="L20" t="s">
        <v>104</v>
      </c>
      <c r="M20" t="s">
        <v>104</v>
      </c>
      <c r="N20" t="s">
        <v>104</v>
      </c>
      <c r="O20" t="s">
        <v>104</v>
      </c>
    </row>
    <row r="21" spans="1:15" ht="18" x14ac:dyDescent="0.35">
      <c r="A21">
        <v>11</v>
      </c>
      <c r="B21" t="s">
        <v>16</v>
      </c>
      <c r="C21" t="s">
        <v>49</v>
      </c>
      <c r="D21" t="s">
        <v>68</v>
      </c>
      <c r="E21" t="s">
        <v>69</v>
      </c>
      <c r="F21" t="s">
        <v>70</v>
      </c>
      <c r="G21" t="s">
        <v>87</v>
      </c>
      <c r="H21" t="s">
        <v>100</v>
      </c>
      <c r="I21" t="s">
        <v>104</v>
      </c>
      <c r="J21" t="s">
        <v>104</v>
      </c>
      <c r="L21" t="s">
        <v>104</v>
      </c>
      <c r="M21" t="s">
        <v>104</v>
      </c>
      <c r="N21" t="s">
        <v>104</v>
      </c>
      <c r="O21" t="s">
        <v>104</v>
      </c>
    </row>
    <row r="22" spans="1:15" ht="18" x14ac:dyDescent="0.35">
      <c r="A22">
        <v>12</v>
      </c>
      <c r="B22" t="s">
        <v>17</v>
      </c>
      <c r="C22" t="s">
        <v>41</v>
      </c>
      <c r="D22" t="s">
        <v>71</v>
      </c>
      <c r="E22" t="s">
        <v>72</v>
      </c>
      <c r="F22" t="s">
        <v>73</v>
      </c>
      <c r="G22" t="s">
        <v>88</v>
      </c>
      <c r="H22" t="s">
        <v>101</v>
      </c>
      <c r="I22" t="s">
        <v>104</v>
      </c>
      <c r="J22" t="s">
        <v>104</v>
      </c>
      <c r="L22" t="s">
        <v>104</v>
      </c>
      <c r="M22" t="s">
        <v>104</v>
      </c>
      <c r="N22" t="s">
        <v>104</v>
      </c>
      <c r="O22" t="s">
        <v>104</v>
      </c>
    </row>
    <row r="23" spans="1:15" ht="18" x14ac:dyDescent="0.35">
      <c r="A23">
        <v>13</v>
      </c>
      <c r="B23" t="s">
        <v>18</v>
      </c>
      <c r="C23" t="s">
        <v>42</v>
      </c>
      <c r="D23" t="s">
        <v>74</v>
      </c>
      <c r="E23" t="s">
        <v>75</v>
      </c>
      <c r="F23" t="s">
        <v>76</v>
      </c>
      <c r="G23" t="s">
        <v>89</v>
      </c>
      <c r="H23" t="s">
        <v>102</v>
      </c>
      <c r="I23" t="s">
        <v>104</v>
      </c>
      <c r="J23" t="s">
        <v>104</v>
      </c>
    </row>
    <row r="24" spans="1:15" ht="18" x14ac:dyDescent="0.35">
      <c r="A24">
        <v>14</v>
      </c>
      <c r="B24" t="s">
        <v>19</v>
      </c>
      <c r="C24" t="s">
        <v>43</v>
      </c>
      <c r="D24" t="s">
        <v>77</v>
      </c>
      <c r="E24" t="s">
        <v>78</v>
      </c>
      <c r="F24" t="s">
        <v>79</v>
      </c>
      <c r="G24" t="s">
        <v>90</v>
      </c>
      <c r="H24" t="s">
        <v>103</v>
      </c>
      <c r="I24" t="s">
        <v>104</v>
      </c>
      <c r="J24" t="s">
        <v>104</v>
      </c>
    </row>
    <row r="25" spans="1:15" x14ac:dyDescent="0.25">
      <c r="A25" t="s">
        <v>104</v>
      </c>
      <c r="B25" t="s">
        <v>104</v>
      </c>
      <c r="C25" t="s">
        <v>104</v>
      </c>
      <c r="D25" t="s">
        <v>104</v>
      </c>
      <c r="E25" t="s">
        <v>104</v>
      </c>
      <c r="F25" t="s">
        <v>104</v>
      </c>
      <c r="G25" t="s">
        <v>104</v>
      </c>
      <c r="H25" t="s">
        <v>104</v>
      </c>
      <c r="I25" t="s">
        <v>104</v>
      </c>
      <c r="J25" t="s">
        <v>104</v>
      </c>
    </row>
    <row r="26" spans="1:15" x14ac:dyDescent="0.25">
      <c r="A26" t="s">
        <v>104</v>
      </c>
      <c r="B26" t="s">
        <v>104</v>
      </c>
      <c r="C26" t="s">
        <v>104</v>
      </c>
      <c r="D26" t="s">
        <v>104</v>
      </c>
      <c r="E26" t="s">
        <v>104</v>
      </c>
      <c r="F26" t="s">
        <v>104</v>
      </c>
      <c r="G26" t="s">
        <v>104</v>
      </c>
      <c r="H26" t="s">
        <v>104</v>
      </c>
      <c r="I26" t="s">
        <v>104</v>
      </c>
      <c r="J26" t="s">
        <v>104</v>
      </c>
    </row>
    <row r="27" spans="1:15" x14ac:dyDescent="0.25">
      <c r="A27" t="s">
        <v>104</v>
      </c>
      <c r="B27" t="s">
        <v>104</v>
      </c>
      <c r="C27" t="s">
        <v>104</v>
      </c>
      <c r="D27" t="s">
        <v>104</v>
      </c>
      <c r="E27" t="s">
        <v>104</v>
      </c>
      <c r="F27" t="s">
        <v>104</v>
      </c>
      <c r="G27" t="s">
        <v>104</v>
      </c>
      <c r="H27" t="s">
        <v>104</v>
      </c>
      <c r="I27" t="s">
        <v>104</v>
      </c>
      <c r="J27" t="s">
        <v>104</v>
      </c>
    </row>
    <row r="28" spans="1:15" x14ac:dyDescent="0.25">
      <c r="A28" t="s">
        <v>104</v>
      </c>
      <c r="B28" t="s">
        <v>104</v>
      </c>
      <c r="C28" t="s">
        <v>104</v>
      </c>
      <c r="D28" t="s">
        <v>104</v>
      </c>
      <c r="E28" t="s">
        <v>104</v>
      </c>
      <c r="F28" t="s">
        <v>104</v>
      </c>
      <c r="G28" t="s">
        <v>104</v>
      </c>
      <c r="H28" t="s">
        <v>104</v>
      </c>
      <c r="I28" t="s">
        <v>104</v>
      </c>
      <c r="J28" t="s">
        <v>104</v>
      </c>
    </row>
    <row r="29" spans="1:15" x14ac:dyDescent="0.25">
      <c r="A29" t="s">
        <v>105</v>
      </c>
      <c r="B29" t="s">
        <v>104</v>
      </c>
      <c r="C29" t="s">
        <v>104</v>
      </c>
      <c r="D29" t="s">
        <v>104</v>
      </c>
      <c r="E29" t="s">
        <v>104</v>
      </c>
      <c r="F29" t="s">
        <v>104</v>
      </c>
      <c r="G29" t="s">
        <v>104</v>
      </c>
      <c r="H29" t="s">
        <v>104</v>
      </c>
      <c r="I29" t="s">
        <v>104</v>
      </c>
      <c r="J29" t="s">
        <v>104</v>
      </c>
    </row>
    <row r="30" spans="1:15" x14ac:dyDescent="0.25">
      <c r="H30" t="s">
        <v>104</v>
      </c>
      <c r="I30" t="s">
        <v>104</v>
      </c>
      <c r="J30" t="s">
        <v>106</v>
      </c>
    </row>
    <row r="32" spans="1:15" x14ac:dyDescent="0.25">
      <c r="C32" s="5"/>
      <c r="D32" s="5"/>
      <c r="E32" s="5"/>
      <c r="F32" s="5"/>
      <c r="H32" s="5"/>
    </row>
    <row r="33" spans="3:9" x14ac:dyDescent="0.25">
      <c r="C33" s="5"/>
      <c r="D33" s="5"/>
      <c r="E33" s="5"/>
      <c r="F33" s="5"/>
    </row>
    <row r="34" spans="3:9" x14ac:dyDescent="0.25">
      <c r="C34" s="5"/>
      <c r="D34" s="5"/>
      <c r="E34" s="5"/>
      <c r="F34" s="5"/>
    </row>
    <row r="35" spans="3:9" x14ac:dyDescent="0.25">
      <c r="C35" s="5"/>
      <c r="D35" s="5"/>
      <c r="E35" s="5"/>
      <c r="F35" s="5"/>
      <c r="I35" t="s">
        <v>104</v>
      </c>
    </row>
    <row r="36" spans="3:9" x14ac:dyDescent="0.25">
      <c r="C36" s="5"/>
      <c r="D36" s="5"/>
      <c r="E36" s="5"/>
      <c r="F36" s="5"/>
      <c r="I36" t="s">
        <v>104</v>
      </c>
    </row>
    <row r="37" spans="3:9" x14ac:dyDescent="0.25">
      <c r="C37" s="5"/>
      <c r="D37" s="5"/>
      <c r="E37" s="5"/>
      <c r="F37" s="5"/>
    </row>
  </sheetData>
  <mergeCells count="2">
    <mergeCell ref="L1:O1"/>
    <mergeCell ref="C9:F9"/>
  </mergeCells>
  <pageMargins left="0.7" right="0.7" top="0.75" bottom="0.75" header="0.3" footer="0.3"/>
  <headerFooter>
    <oddHeader>&amp;R&amp;"Calibri"&amp;12&amp;K000000 Unclassified - Non-Classifié&amp;1#_x000D_</oddHead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BC's way</vt:lpstr>
      <vt:lpstr>other working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Glaser, Dylan (DFO/MPO)</dc:creator>
  <cp:lastModifiedBy>Glaser, Dylan (DFO/MPO)</cp:lastModifiedBy>
  <dcterms:created xsi:type="dcterms:W3CDTF">2025-01-21T21:29:58Z</dcterms:created>
  <dcterms:modified xsi:type="dcterms:W3CDTF">2026-02-19T21:46:33Z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2026-02-17T19:38:37Z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06e26ee8-f105-4273-b94a-0b0c4f439b9b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